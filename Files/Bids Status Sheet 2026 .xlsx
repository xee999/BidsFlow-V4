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mmar.ahmed4\Downloads\"/>
    </mc:Choice>
  </mc:AlternateContent>
  <xr:revisionPtr revIDLastSave="0" documentId="13_ncr:1_{6976D38C-F354-4BDE-9544-3A3CCD6DE878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Color Coding" sheetId="10" r:id="rId1"/>
    <sheet name="2026" sheetId="14" r:id="rId2"/>
  </sheets>
  <definedNames>
    <definedName name="_xlnm._FilterDatabase" localSheetId="1" hidden="1">'2026'!$A$1:$AD$27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4" l="1"/>
  <c r="H15" i="14"/>
  <c r="H11" i="14"/>
  <c r="H4" i="14"/>
  <c r="H7" i="14"/>
  <c r="H12" i="14"/>
  <c r="H14" i="14"/>
  <c r="H2" i="14"/>
</calcChain>
</file>

<file path=xl/sharedStrings.xml><?xml version="1.0" encoding="utf-8"?>
<sst xmlns="http://schemas.openxmlformats.org/spreadsheetml/2006/main" count="357" uniqueCount="174">
  <si>
    <t>Yellow</t>
  </si>
  <si>
    <t>In progress</t>
  </si>
  <si>
    <t>Blue</t>
  </si>
  <si>
    <t>Need to raise bid security</t>
  </si>
  <si>
    <t>Green</t>
  </si>
  <si>
    <t>Won</t>
  </si>
  <si>
    <t>Red</t>
  </si>
  <si>
    <t>Lost</t>
  </si>
  <si>
    <t>Orange</t>
  </si>
  <si>
    <t>Submitted</t>
  </si>
  <si>
    <t>Grey</t>
  </si>
  <si>
    <t>No Bid</t>
  </si>
  <si>
    <t>Sr. No</t>
  </si>
  <si>
    <t>Opportunity Nature</t>
  </si>
  <si>
    <t>JBC</t>
  </si>
  <si>
    <t>Customer Name</t>
  </si>
  <si>
    <t>Opportuntity ID</t>
  </si>
  <si>
    <t>Opportunity Type</t>
  </si>
  <si>
    <t>Received Date</t>
  </si>
  <si>
    <t>Number of days</t>
  </si>
  <si>
    <t>Tender Deadline</t>
  </si>
  <si>
    <t>Submission Time</t>
  </si>
  <si>
    <t>No. of Working days available</t>
  </si>
  <si>
    <t>Segment</t>
  </si>
  <si>
    <t>Region</t>
  </si>
  <si>
    <t>Product</t>
  </si>
  <si>
    <t>Solution Type</t>
  </si>
  <si>
    <t>Requirements</t>
  </si>
  <si>
    <t>Bidding Manager</t>
  </si>
  <si>
    <t>Approx. Bid Value</t>
  </si>
  <si>
    <t>Risk Terms</t>
  </si>
  <si>
    <t>Risk Level</t>
  </si>
  <si>
    <t>Margins</t>
  </si>
  <si>
    <t>Bid security</t>
  </si>
  <si>
    <t>Contract Term</t>
  </si>
  <si>
    <t>Follow up comments</t>
  </si>
  <si>
    <t>Bid Result</t>
  </si>
  <si>
    <t>Details</t>
  </si>
  <si>
    <t>Bid Status</t>
  </si>
  <si>
    <t>Result Month</t>
  </si>
  <si>
    <t>Result Factor</t>
  </si>
  <si>
    <t>New Sale</t>
  </si>
  <si>
    <t>Khawaja Ahsan Hameed</t>
  </si>
  <si>
    <t>EPADs</t>
  </si>
  <si>
    <t>B2G</t>
  </si>
  <si>
    <t>Central</t>
  </si>
  <si>
    <t>M2M</t>
  </si>
  <si>
    <t>RFQ</t>
  </si>
  <si>
    <t>A2P</t>
  </si>
  <si>
    <t>NIL</t>
  </si>
  <si>
    <t>Fixed</t>
  </si>
  <si>
    <t>Routed to Pre-sales team for evaluation</t>
  </si>
  <si>
    <t>Cloud</t>
  </si>
  <si>
    <t>Routed to Cloud team for evaluation</t>
  </si>
  <si>
    <t>Tender</t>
  </si>
  <si>
    <t>North</t>
  </si>
  <si>
    <t>Renewal</t>
  </si>
  <si>
    <t>Bilal Hussain</t>
  </si>
  <si>
    <t>Mufti Nouman Rehman</t>
  </si>
  <si>
    <t>NADRA</t>
  </si>
  <si>
    <t>Farrukh Jamal</t>
  </si>
  <si>
    <t>Sobia Ikram</t>
  </si>
  <si>
    <t>South</t>
  </si>
  <si>
    <t>Ammar Ahmed</t>
  </si>
  <si>
    <t>Asad Saifi</t>
  </si>
  <si>
    <t>Shermeen Shahab</t>
  </si>
  <si>
    <t>Devices</t>
  </si>
  <si>
    <t>Per Lot</t>
  </si>
  <si>
    <t>Bank of Punjab</t>
  </si>
  <si>
    <t>Muhammad Khurram</t>
  </si>
  <si>
    <t>Jawad Ghani</t>
  </si>
  <si>
    <t>2%.</t>
  </si>
  <si>
    <t>Khyber Pakhtunkhwa Revenue Mobilization &amp; Public Resource Management Program (KPRMP)</t>
  </si>
  <si>
    <t>Hassaan Naweed</t>
  </si>
  <si>
    <t>Desktops</t>
  </si>
  <si>
    <t>Sher Shah</t>
  </si>
  <si>
    <t>Cloud SI</t>
  </si>
  <si>
    <t>Mufti Nauman / Farukh Jamal</t>
  </si>
  <si>
    <t>Askari Bank</t>
  </si>
  <si>
    <t xml:space="preserve">RITM0110302  | 81019 </t>
  </si>
  <si>
    <t>Fixed + Cloud SI</t>
  </si>
  <si>
    <t>Data warehousing Solution</t>
  </si>
  <si>
    <t>NA</t>
  </si>
  <si>
    <t>Bid in Process</t>
  </si>
  <si>
    <t>Bisma Ahsan</t>
  </si>
  <si>
    <t>1 year</t>
  </si>
  <si>
    <t>Punjab Education Foundation</t>
  </si>
  <si>
    <t>Routed to Product team for evaluation</t>
  </si>
  <si>
    <t>Firewall</t>
  </si>
  <si>
    <t>Connectivity</t>
  </si>
  <si>
    <t>3 Years</t>
  </si>
  <si>
    <t>Eligibility Criteria - We dont have 5 years experience</t>
  </si>
  <si>
    <t>1 Year</t>
  </si>
  <si>
    <t>DG Health Services</t>
  </si>
  <si>
    <t>Pre Tender</t>
  </si>
  <si>
    <t>-</t>
  </si>
  <si>
    <t>Bid In Process</t>
  </si>
  <si>
    <t>Board of Intermediate and Secondary Education - BISE Kohat</t>
  </si>
  <si>
    <t>RITM0117234</t>
  </si>
  <si>
    <t>Cloud-Based Hosting</t>
  </si>
  <si>
    <t>100,000/-</t>
  </si>
  <si>
    <t xml:space="preserve">Case Id is not created </t>
  </si>
  <si>
    <t>Punjab Land Records Authority - PLRA</t>
  </si>
  <si>
    <t>Desktops - 1000</t>
  </si>
  <si>
    <t>6,000,000/-</t>
  </si>
  <si>
    <t>Dell refused to give prefered pricing</t>
  </si>
  <si>
    <t>Federal Board of Revenue</t>
  </si>
  <si>
    <t>Production Monitoring System</t>
  </si>
  <si>
    <t>Authorized Vendors for Supply, Installation and Maintenance of Production Monitoring System in Iron and Steel Sector</t>
  </si>
  <si>
    <t>5 years</t>
  </si>
  <si>
    <t>Production Monitoring System for Tyres</t>
  </si>
  <si>
    <t>SMS Alert service for partner schools</t>
  </si>
  <si>
    <t>5 Mbps 2 links on L3</t>
  </si>
  <si>
    <t>3 years</t>
  </si>
  <si>
    <t xml:space="preserve">RITM0116184 </t>
  </si>
  <si>
    <t>Procurement of Hardware and Software</t>
  </si>
  <si>
    <t>Firewall, Storage, switches</t>
  </si>
  <si>
    <t>Veritas Net Backup Support</t>
  </si>
  <si>
    <t>IBA University Sukkur</t>
  </si>
  <si>
    <t xml:space="preserve">RITM0116352 </t>
  </si>
  <si>
    <t>630,000_x000D_</t>
  </si>
  <si>
    <t>Pakistan Medical &amp; Dental Council</t>
  </si>
  <si>
    <t>150 Mbps Internet link (1+1)</t>
  </si>
  <si>
    <t>Routed to Fixed Pre-sales team for review</t>
  </si>
  <si>
    <t>National Insurance Company Limited (NICL)</t>
  </si>
  <si>
    <t>RITM0116390</t>
  </si>
  <si>
    <t>Next Generation Firewall</t>
  </si>
  <si>
    <t>N/A</t>
  </si>
  <si>
    <t>National Telecommunication Corporation</t>
  </si>
  <si>
    <t>RITM0115814</t>
  </si>
  <si>
    <t>Servers and Allied Equipment</t>
  </si>
  <si>
    <t>Supply, Installation, Testing &amp; Commissioning of Servers &amp; Allied Equipment in Islamabad on DDP Basis</t>
  </si>
  <si>
    <t>Karachi Port Trust</t>
  </si>
  <si>
    <t>SCTASK0013784 | 82377</t>
  </si>
  <si>
    <t xml:space="preserve">RITM0116814 </t>
  </si>
  <si>
    <t>Expansion of Data Center</t>
  </si>
  <si>
    <t xml:space="preserve">2,000,000/- </t>
  </si>
  <si>
    <t xml:space="preserve">RITM0116896 </t>
  </si>
  <si>
    <t>Servers and storage</t>
  </si>
  <si>
    <t>National University of Medical Scienses</t>
  </si>
  <si>
    <t>Integrated Security System (Security Camera, Walk Through Gate, Biometric Control Device, Motoroal Sets with Base Stations, Motion Sensor)</t>
  </si>
  <si>
    <t>State life Corporation Pakistan</t>
  </si>
  <si>
    <t>RITM0117448</t>
  </si>
  <si>
    <t>SIEM SOLUTION</t>
  </si>
  <si>
    <t>170,000/</t>
  </si>
  <si>
    <t>Pakistan National Shipping Corporation (PNSC)</t>
  </si>
  <si>
    <t>Hyper Converged Infrastructure (HCI)</t>
  </si>
  <si>
    <t>Procurement of Information System (Hyper Converged Infrastructure (HCI))</t>
  </si>
  <si>
    <t>Routed to Cloud Pre-sales for evaluation</t>
  </si>
  <si>
    <t>PULSE</t>
  </si>
  <si>
    <t>Thumb devices: 1100 and Web Cameras: 1500</t>
  </si>
  <si>
    <t>Power Planning &amp; Monitoring Company (PPMC)</t>
  </si>
  <si>
    <t>Fixed + Cloud</t>
  </si>
  <si>
    <t>IT Infrastructure and Computing, Data Center Facility and 10 Mbps Link)</t>
  </si>
  <si>
    <t>2% for each lot</t>
  </si>
  <si>
    <t>Routed to Product teams for evaluation</t>
  </si>
  <si>
    <t>Board of Intermediate and Secondary Education - BISE Bannu</t>
  </si>
  <si>
    <t>RITM0117935</t>
  </si>
  <si>
    <t>Hosting Services - VDC</t>
  </si>
  <si>
    <t>Benazir Income Support Programme (BISP)</t>
  </si>
  <si>
    <t>RITM0117309</t>
  </si>
  <si>
    <t>Procurement of Core FortiNet Firewall Licenses Renewal</t>
  </si>
  <si>
    <t>1,350,000/-</t>
  </si>
  <si>
    <t>Pakistan Single Window (PSW)</t>
  </si>
  <si>
    <t xml:space="preserve">RITM0117268 </t>
  </si>
  <si>
    <t>Virtualization Hypervisor</t>
  </si>
  <si>
    <t>5 Year</t>
  </si>
  <si>
    <t>case was published on 30th Jan</t>
  </si>
  <si>
    <t xml:space="preserve">Special Technology Zones Authority </t>
  </si>
  <si>
    <t xml:space="preserve">RITM0117387 </t>
  </si>
  <si>
    <t>VMware License</t>
  </si>
  <si>
    <t>Renewal of VMware vSphere License Subscription</t>
  </si>
  <si>
    <t>180,000/</t>
  </si>
  <si>
    <t>AI Powered Chat Bot 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</si>
</sst>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\-mmm\-yyyy;@"/>
    <numFmt numFmtId="165" formatCode="0.0%"/>
  </numFmts>
  <fonts count="1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</font>
    <font>
      <sz val="12"/>
      <color theme="0"/>
      <name val="Calibri"/>
      <family val="2"/>
    </font>
    <font>
      <b/>
      <sz val="12"/>
      <color theme="0"/>
      <name val="Calibri"/>
      <family val="2"/>
    </font>
    <font>
      <b/>
      <sz val="11"/>
      <color theme="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</font>
    <font>
      <b/>
      <sz val="11"/>
      <color theme="1"/>
      <name val="Calibri"/>
    </font>
    <font>
      <sz val="11"/>
      <color theme="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2" borderId="1" xfId="0" applyFill="1" applyBorder="1"/>
    <xf numFmtId="0" fontId="0" fillId="8" borderId="1" xfId="0" applyFill="1" applyBorder="1"/>
    <xf numFmtId="0" fontId="0" fillId="4" borderId="1" xfId="0" applyFill="1" applyBorder="1"/>
    <xf numFmtId="0" fontId="4" fillId="5" borderId="2" xfId="0" applyFont="1" applyFill="1" applyBorder="1"/>
    <xf numFmtId="0" fontId="0" fillId="7" borderId="1" xfId="0" applyFill="1" applyBorder="1"/>
    <xf numFmtId="0" fontId="0" fillId="3" borderId="1" xfId="0" applyFill="1" applyBorder="1"/>
    <xf numFmtId="0" fontId="7" fillId="9" borderId="1" xfId="0" applyFont="1" applyFill="1" applyBorder="1" applyAlignment="1">
      <alignment vertical="center" wrapText="1"/>
    </xf>
    <xf numFmtId="0" fontId="7" fillId="9" borderId="1" xfId="0" applyFont="1" applyFill="1" applyBorder="1" applyAlignment="1">
      <alignment horizontal="left" vertical="center" wrapText="1"/>
    </xf>
    <xf numFmtId="164" fontId="7" fillId="9" borderId="1" xfId="0" applyNumberFormat="1" applyFont="1" applyFill="1" applyBorder="1" applyAlignment="1">
      <alignment horizontal="left" vertical="center" wrapText="1"/>
    </xf>
    <xf numFmtId="14" fontId="7" fillId="9" borderId="1" xfId="0" applyNumberFormat="1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vertical="center" wrapText="1"/>
    </xf>
    <xf numFmtId="0" fontId="9" fillId="8" borderId="1" xfId="0" applyFont="1" applyFill="1" applyBorder="1" applyAlignment="1">
      <alignment vertical="center" wrapText="1"/>
    </xf>
    <xf numFmtId="0" fontId="1" fillId="8" borderId="1" xfId="0" applyFont="1" applyFill="1" applyBorder="1" applyAlignment="1">
      <alignment vertical="center" wrapText="1"/>
    </xf>
    <xf numFmtId="0" fontId="0" fillId="8" borderId="1" xfId="0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" fontId="7" fillId="9" borderId="1" xfId="0" applyNumberFormat="1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center" vertical="center"/>
    </xf>
    <xf numFmtId="164" fontId="12" fillId="8" borderId="1" xfId="0" applyNumberFormat="1" applyFont="1" applyFill="1" applyBorder="1" applyAlignment="1">
      <alignment horizontal="left" vertical="center"/>
    </xf>
    <xf numFmtId="0" fontId="10" fillId="8" borderId="1" xfId="0" applyFont="1" applyFill="1" applyBorder="1" applyAlignment="1">
      <alignment horizontal="left" vertical="center" wrapText="1"/>
    </xf>
    <xf numFmtId="22" fontId="10" fillId="8" borderId="1" xfId="0" applyNumberFormat="1" applyFont="1" applyFill="1" applyBorder="1" applyAlignment="1">
      <alignment horizontal="left" vertical="center" wrapText="1"/>
    </xf>
    <xf numFmtId="18" fontId="10" fillId="8" borderId="1" xfId="0" applyNumberFormat="1" applyFont="1" applyFill="1" applyBorder="1" applyAlignment="1">
      <alignment horizontal="left" vertical="center"/>
    </xf>
    <xf numFmtId="3" fontId="1" fillId="8" borderId="1" xfId="0" applyNumberFormat="1" applyFont="1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0" fontId="0" fillId="8" borderId="1" xfId="0" applyFill="1" applyBorder="1" applyAlignment="1">
      <alignment horizontal="left" vertical="center"/>
    </xf>
    <xf numFmtId="0" fontId="0" fillId="8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vertical="center"/>
    </xf>
    <xf numFmtId="0" fontId="11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left" vertical="center"/>
    </xf>
    <xf numFmtId="164" fontId="12" fillId="2" borderId="1" xfId="0" applyNumberFormat="1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1" fontId="5" fillId="2" borderId="1" xfId="0" applyNumberFormat="1" applyFont="1" applyFill="1" applyBorder="1" applyAlignment="1">
      <alignment horizontal="left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10" fillId="2" borderId="1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horizontal="left" vertical="center"/>
    </xf>
    <xf numFmtId="22" fontId="10" fillId="2" borderId="1" xfId="0" applyNumberFormat="1" applyFont="1" applyFill="1" applyBorder="1" applyAlignment="1">
      <alignment horizontal="left" vertical="center" wrapText="1"/>
    </xf>
    <xf numFmtId="18" fontId="10" fillId="2" borderId="1" xfId="0" applyNumberFormat="1" applyFont="1" applyFill="1" applyBorder="1" applyAlignment="1">
      <alignment horizontal="left" vertical="center"/>
    </xf>
    <xf numFmtId="43" fontId="10" fillId="2" borderId="1" xfId="0" applyNumberFormat="1" applyFont="1" applyFill="1" applyBorder="1" applyAlignment="1">
      <alignment horizontal="left" vertical="center" wrapText="1"/>
    </xf>
    <xf numFmtId="3" fontId="12" fillId="2" borderId="1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3" fontId="0" fillId="8" borderId="1" xfId="0" applyNumberForma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1" fontId="10" fillId="8" borderId="1" xfId="0" applyNumberFormat="1" applyFont="1" applyFill="1" applyBorder="1" applyAlignment="1">
      <alignment horizontal="left" vertical="center" wrapText="1"/>
    </xf>
    <xf numFmtId="165" fontId="1" fillId="8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vertical="center" wrapText="1"/>
    </xf>
    <xf numFmtId="3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10" fillId="2" borderId="1" xfId="0" applyNumberFormat="1" applyFont="1" applyFill="1" applyBorder="1" applyAlignment="1">
      <alignment horizontal="left" vertical="center" wrapText="1"/>
    </xf>
    <xf numFmtId="165" fontId="1" fillId="2" borderId="1" xfId="0" applyNumberFormat="1" applyFont="1" applyFill="1" applyBorder="1" applyAlignment="1">
      <alignment horizontal="center" vertical="center" wrapText="1"/>
    </xf>
    <xf numFmtId="9" fontId="1" fillId="8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23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activeCell="B3" sqref="B3"/>
    </sheetView>
  </sheetViews>
  <sheetFormatPr defaultColWidth="8.83203125" defaultRowHeight="15.5" x14ac:dyDescent="0.35"/>
  <cols>
    <col min="2" max="2" width="22.082031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 t="s">
        <v>3</v>
      </c>
    </row>
    <row r="3" spans="1:2" x14ac:dyDescent="0.35">
      <c r="A3" s="6" t="s">
        <v>4</v>
      </c>
      <c r="B3" s="6" t="s">
        <v>5</v>
      </c>
    </row>
    <row r="4" spans="1:2" x14ac:dyDescent="0.35">
      <c r="A4" s="3" t="s">
        <v>6</v>
      </c>
      <c r="B4" s="3" t="s">
        <v>7</v>
      </c>
    </row>
    <row r="5" spans="1:2" x14ac:dyDescent="0.35">
      <c r="A5" s="4" t="s">
        <v>8</v>
      </c>
      <c r="B5" s="4" t="s">
        <v>9</v>
      </c>
    </row>
    <row r="6" spans="1:2" x14ac:dyDescent="0.35">
      <c r="A6" s="5" t="s">
        <v>10</v>
      </c>
      <c r="B6" s="5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C2A1A-C51C-4645-BA60-8C157E4BD912}">
  <dimension ref="A1:AE27"/>
  <sheetViews>
    <sheetView tabSelected="1" zoomScale="85" zoomScaleNormal="85" workbookViewId="0">
      <pane ySplit="1" topLeftCell="A2" activePane="bottomLeft" state="frozen"/>
      <selection activeCell="B1" sqref="B1"/>
      <selection pane="bottomLeft" activeCell="E3" sqref="E3"/>
    </sheetView>
  </sheetViews>
  <sheetFormatPr defaultColWidth="34" defaultRowHeight="15.75" customHeight="1" x14ac:dyDescent="0.35"/>
  <cols>
    <col min="1" max="1" width="5.25" style="37" customWidth="1"/>
    <col min="2" max="2" width="13.25" style="37" customWidth="1"/>
    <col min="3" max="3" width="25.08203125" style="37" customWidth="1"/>
    <col min="4" max="4" width="32.75" style="50" customWidth="1"/>
    <col min="5" max="5" width="15.33203125" style="37" customWidth="1"/>
    <col min="6" max="6" width="19.75" style="50" bestFit="1" customWidth="1"/>
    <col min="7" max="7" width="15.83203125" style="37" bestFit="1" customWidth="1"/>
    <col min="8" max="8" width="14.83203125" style="51" customWidth="1"/>
    <col min="9" max="9" width="19" style="37" customWidth="1"/>
    <col min="10" max="10" width="12.08203125" style="37" customWidth="1"/>
    <col min="11" max="11" width="16.5" style="37" hidden="1" customWidth="1"/>
    <col min="12" max="12" width="10.83203125" style="37" customWidth="1"/>
    <col min="13" max="13" width="8.75" style="37" bestFit="1" customWidth="1"/>
    <col min="14" max="14" width="13.25" style="37" customWidth="1"/>
    <col min="15" max="15" width="31" style="50" customWidth="1"/>
    <col min="16" max="17" width="31.75" style="50" customWidth="1"/>
    <col min="18" max="18" width="16.83203125" style="53" customWidth="1"/>
    <col min="19" max="21" width="16.83203125" style="37" customWidth="1"/>
    <col min="22" max="22" width="18.08203125" style="52" customWidth="1"/>
    <col min="23" max="23" width="14.25" style="53" customWidth="1"/>
    <col min="24" max="24" width="34" style="37" hidden="1" customWidth="1"/>
    <col min="25" max="25" width="11.25" style="37" hidden="1" customWidth="1"/>
    <col min="26" max="26" width="34.58203125" style="37" customWidth="1"/>
    <col min="27" max="27" width="13.58203125" style="54" customWidth="1"/>
    <col min="28" max="28" width="14.5" style="36" customWidth="1"/>
    <col min="29" max="29" width="15.58203125" style="37" hidden="1" customWidth="1"/>
    <col min="30" max="30" width="39.58203125" style="57" customWidth="1"/>
    <col min="31" max="16384" width="34" style="37"/>
  </cols>
  <sheetData>
    <row r="1" spans="1:31" s="13" customFormat="1" ht="36" customHeight="1" x14ac:dyDescent="0.35">
      <c r="A1" s="7" t="s">
        <v>12</v>
      </c>
      <c r="B1" s="8" t="s">
        <v>13</v>
      </c>
      <c r="C1" s="8" t="s">
        <v>14</v>
      </c>
      <c r="D1" s="8" t="s">
        <v>15</v>
      </c>
      <c r="E1" s="8" t="s">
        <v>16</v>
      </c>
      <c r="F1" s="8" t="s">
        <v>17</v>
      </c>
      <c r="G1" s="9" t="s">
        <v>18</v>
      </c>
      <c r="H1" s="20" t="s">
        <v>19</v>
      </c>
      <c r="I1" s="9" t="s">
        <v>20</v>
      </c>
      <c r="J1" s="10" t="s">
        <v>21</v>
      </c>
      <c r="K1" s="10" t="s">
        <v>22</v>
      </c>
      <c r="L1" s="8" t="s">
        <v>23</v>
      </c>
      <c r="M1" s="8" t="s">
        <v>24</v>
      </c>
      <c r="N1" s="8" t="s">
        <v>25</v>
      </c>
      <c r="O1" s="8" t="s">
        <v>26</v>
      </c>
      <c r="P1" s="8" t="s">
        <v>27</v>
      </c>
      <c r="Q1" s="8" t="s">
        <v>28</v>
      </c>
      <c r="R1" s="11" t="s">
        <v>29</v>
      </c>
      <c r="S1" s="8" t="s">
        <v>30</v>
      </c>
      <c r="T1" s="8" t="s">
        <v>31</v>
      </c>
      <c r="U1" s="8" t="s">
        <v>32</v>
      </c>
      <c r="V1" s="11" t="s">
        <v>33</v>
      </c>
      <c r="W1" s="8" t="s">
        <v>34</v>
      </c>
      <c r="X1" s="8" t="s">
        <v>35</v>
      </c>
      <c r="Y1" s="8" t="s">
        <v>36</v>
      </c>
      <c r="Z1" s="8" t="s">
        <v>37</v>
      </c>
      <c r="AA1" s="12" t="s">
        <v>38</v>
      </c>
      <c r="AB1" s="8" t="s">
        <v>36</v>
      </c>
      <c r="AC1" s="8" t="s">
        <v>39</v>
      </c>
      <c r="AD1" s="12" t="s">
        <v>40</v>
      </c>
    </row>
    <row r="2" spans="1:31" s="19" customFormat="1" ht="29" x14ac:dyDescent="0.35">
      <c r="A2" s="31">
        <v>97</v>
      </c>
      <c r="B2" s="19" t="s">
        <v>41</v>
      </c>
      <c r="C2" s="19" t="s">
        <v>75</v>
      </c>
      <c r="D2" s="34" t="s">
        <v>97</v>
      </c>
      <c r="E2" s="60" t="s">
        <v>98</v>
      </c>
      <c r="F2" s="61" t="s">
        <v>43</v>
      </c>
      <c r="G2" s="45">
        <v>46042.738298611112</v>
      </c>
      <c r="H2" s="64">
        <f>NETWORKDAYS(G2,I2-2)</f>
        <v>16</v>
      </c>
      <c r="I2" s="33">
        <v>46065</v>
      </c>
      <c r="J2" s="46">
        <v>0.4375</v>
      </c>
      <c r="K2" s="17"/>
      <c r="L2" s="19" t="s">
        <v>44</v>
      </c>
      <c r="M2" s="19" t="s">
        <v>55</v>
      </c>
      <c r="N2" s="61" t="s">
        <v>52</v>
      </c>
      <c r="O2" s="61" t="s">
        <v>99</v>
      </c>
      <c r="P2" s="61" t="s">
        <v>99</v>
      </c>
      <c r="Q2" s="61"/>
      <c r="R2" s="62"/>
      <c r="V2" s="65" t="s">
        <v>100</v>
      </c>
      <c r="W2" s="63" t="s">
        <v>92</v>
      </c>
      <c r="X2" s="17"/>
      <c r="Y2" s="17"/>
      <c r="Z2" s="19" t="s">
        <v>101</v>
      </c>
      <c r="AA2" s="41" t="s">
        <v>96</v>
      </c>
      <c r="AB2" s="18"/>
      <c r="AC2" s="17"/>
      <c r="AD2" s="14"/>
    </row>
    <row r="3" spans="1:31" s="17" customFormat="1" ht="32.25" customHeight="1" x14ac:dyDescent="0.35">
      <c r="A3" s="21">
        <v>129</v>
      </c>
      <c r="B3" s="17" t="s">
        <v>41</v>
      </c>
      <c r="C3" s="17" t="s">
        <v>64</v>
      </c>
      <c r="D3" s="23" t="s">
        <v>128</v>
      </c>
      <c r="E3" s="28" t="s">
        <v>129</v>
      </c>
      <c r="F3" s="27" t="s">
        <v>43</v>
      </c>
      <c r="G3" s="24">
        <v>46050.449305555558</v>
      </c>
      <c r="H3" s="58"/>
      <c r="I3" s="22">
        <v>46065</v>
      </c>
      <c r="J3" s="25">
        <v>0.45833333333333331</v>
      </c>
      <c r="L3" s="17" t="s">
        <v>44</v>
      </c>
      <c r="M3" s="17" t="s">
        <v>55</v>
      </c>
      <c r="N3" s="27" t="s">
        <v>52</v>
      </c>
      <c r="O3" s="27" t="s">
        <v>130</v>
      </c>
      <c r="P3" s="27" t="s">
        <v>131</v>
      </c>
      <c r="Q3" s="27"/>
      <c r="R3" s="55"/>
      <c r="V3" s="26">
        <v>1000000</v>
      </c>
      <c r="W3" s="29" t="s">
        <v>85</v>
      </c>
      <c r="Z3" s="17" t="s">
        <v>87</v>
      </c>
      <c r="AA3" s="30" t="s">
        <v>96</v>
      </c>
      <c r="AB3" s="16"/>
      <c r="AD3" s="15"/>
    </row>
    <row r="4" spans="1:31" s="17" customFormat="1" ht="41.25" customHeight="1" x14ac:dyDescent="0.35">
      <c r="A4" s="31">
        <v>111</v>
      </c>
      <c r="B4" s="19" t="s">
        <v>41</v>
      </c>
      <c r="C4" s="19" t="s">
        <v>58</v>
      </c>
      <c r="D4" s="34" t="s">
        <v>59</v>
      </c>
      <c r="E4" s="60">
        <v>82106</v>
      </c>
      <c r="F4" s="61" t="s">
        <v>43</v>
      </c>
      <c r="G4" s="45">
        <v>46050.516018518516</v>
      </c>
      <c r="H4" s="64">
        <f>NETWORKDAYS(G4,I4-2)</f>
        <v>13</v>
      </c>
      <c r="I4" s="33">
        <v>46069</v>
      </c>
      <c r="J4" s="46">
        <v>0.45833333333333331</v>
      </c>
      <c r="K4" s="19"/>
      <c r="L4" s="19" t="s">
        <v>44</v>
      </c>
      <c r="M4" s="19" t="s">
        <v>55</v>
      </c>
      <c r="N4" s="61" t="s">
        <v>50</v>
      </c>
      <c r="O4" s="61" t="s">
        <v>112</v>
      </c>
      <c r="P4" s="61"/>
      <c r="Q4" s="61"/>
      <c r="R4" s="62"/>
      <c r="S4" s="19"/>
      <c r="T4" s="19"/>
      <c r="U4" s="19"/>
      <c r="V4" s="39">
        <v>115200</v>
      </c>
      <c r="W4" s="63" t="s">
        <v>113</v>
      </c>
      <c r="X4" s="19"/>
      <c r="Y4" s="19"/>
      <c r="Z4" s="19"/>
      <c r="AA4" s="41" t="s">
        <v>96</v>
      </c>
      <c r="AB4" s="18"/>
      <c r="AC4" s="19"/>
      <c r="AD4" s="14"/>
    </row>
    <row r="5" spans="1:31" ht="39" customHeight="1" x14ac:dyDescent="0.35">
      <c r="A5" s="21">
        <v>118</v>
      </c>
      <c r="B5" s="17" t="s">
        <v>41</v>
      </c>
      <c r="C5" s="17" t="s">
        <v>65</v>
      </c>
      <c r="D5" s="23" t="s">
        <v>118</v>
      </c>
      <c r="E5" s="28" t="s">
        <v>119</v>
      </c>
      <c r="F5" s="27" t="s">
        <v>43</v>
      </c>
      <c r="G5" s="24">
        <v>46052.828518518516</v>
      </c>
      <c r="H5" s="58">
        <f>NETWORKDAYS(G5,I5-2)</f>
        <v>11</v>
      </c>
      <c r="I5" s="22">
        <v>46069</v>
      </c>
      <c r="J5" s="25">
        <v>0.625</v>
      </c>
      <c r="K5" s="17"/>
      <c r="L5" s="17" t="s">
        <v>44</v>
      </c>
      <c r="M5" s="17" t="s">
        <v>62</v>
      </c>
      <c r="N5" s="27" t="s">
        <v>52</v>
      </c>
      <c r="O5" s="27" t="s">
        <v>117</v>
      </c>
      <c r="P5" s="27" t="s">
        <v>117</v>
      </c>
      <c r="Q5" s="27"/>
      <c r="R5" s="55">
        <v>12600000</v>
      </c>
      <c r="S5" s="17"/>
      <c r="T5" s="17"/>
      <c r="U5" s="17"/>
      <c r="V5" s="26" t="s">
        <v>120</v>
      </c>
      <c r="W5" s="29" t="s">
        <v>90</v>
      </c>
      <c r="X5" s="17"/>
      <c r="Y5" s="17"/>
      <c r="Z5" s="17"/>
      <c r="AA5" s="30" t="s">
        <v>96</v>
      </c>
      <c r="AB5" s="16"/>
      <c r="AC5" s="17"/>
      <c r="AD5" s="15"/>
      <c r="AE5" s="17"/>
    </row>
    <row r="6" spans="1:31" ht="15.5" x14ac:dyDescent="0.35">
      <c r="A6" s="31">
        <v>126</v>
      </c>
      <c r="B6" s="19" t="s">
        <v>41</v>
      </c>
      <c r="C6" s="19" t="s">
        <v>75</v>
      </c>
      <c r="D6" s="34" t="s">
        <v>121</v>
      </c>
      <c r="E6" s="60">
        <v>82232</v>
      </c>
      <c r="F6" s="61" t="s">
        <v>43</v>
      </c>
      <c r="G6" s="45">
        <v>46052.785995370374</v>
      </c>
      <c r="H6" s="64"/>
      <c r="I6" s="33">
        <v>46069</v>
      </c>
      <c r="J6" s="46">
        <v>0.5</v>
      </c>
      <c r="K6" s="19"/>
      <c r="L6" s="19" t="s">
        <v>44</v>
      </c>
      <c r="M6" s="19" t="s">
        <v>55</v>
      </c>
      <c r="N6" s="61" t="s">
        <v>50</v>
      </c>
      <c r="O6" s="61" t="s">
        <v>122</v>
      </c>
      <c r="P6" s="61"/>
      <c r="Q6" s="61"/>
      <c r="R6" s="62"/>
      <c r="S6" s="19"/>
      <c r="T6" s="19"/>
      <c r="U6" s="19"/>
      <c r="V6" s="39">
        <v>100000</v>
      </c>
      <c r="W6" s="63" t="s">
        <v>113</v>
      </c>
      <c r="X6" s="19"/>
      <c r="Y6" s="19"/>
      <c r="Z6" s="19" t="s">
        <v>123</v>
      </c>
      <c r="AA6" s="41" t="s">
        <v>96</v>
      </c>
      <c r="AB6" s="18"/>
      <c r="AC6" s="19"/>
      <c r="AD6" s="14"/>
      <c r="AE6" s="17"/>
    </row>
    <row r="7" spans="1:31" ht="62" x14ac:dyDescent="0.35">
      <c r="A7" s="21">
        <v>104</v>
      </c>
      <c r="B7" s="17" t="s">
        <v>41</v>
      </c>
      <c r="C7" s="17" t="s">
        <v>61</v>
      </c>
      <c r="D7" s="23" t="s">
        <v>106</v>
      </c>
      <c r="E7" s="28">
        <v>82044</v>
      </c>
      <c r="F7" s="27" t="s">
        <v>43</v>
      </c>
      <c r="G7" s="24">
        <v>46048.753171296295</v>
      </c>
      <c r="H7" s="58">
        <f>NETWORKDAYS(G7,I7-2)</f>
        <v>15</v>
      </c>
      <c r="I7" s="22">
        <v>46070</v>
      </c>
      <c r="J7" s="25">
        <v>0.45833333333333331</v>
      </c>
      <c r="K7" s="17"/>
      <c r="L7" s="17" t="s">
        <v>44</v>
      </c>
      <c r="M7" s="17" t="s">
        <v>62</v>
      </c>
      <c r="N7" s="27" t="s">
        <v>46</v>
      </c>
      <c r="O7" s="27" t="s">
        <v>107</v>
      </c>
      <c r="P7" s="27" t="s">
        <v>108</v>
      </c>
      <c r="Q7" s="27"/>
      <c r="R7" s="55"/>
      <c r="S7" s="17"/>
      <c r="T7" s="17"/>
      <c r="U7" s="17"/>
      <c r="V7" s="26">
        <v>1000000</v>
      </c>
      <c r="W7" s="29" t="s">
        <v>109</v>
      </c>
      <c r="X7" s="17"/>
      <c r="Y7" s="17"/>
      <c r="Z7" s="17"/>
      <c r="AA7" s="30" t="s">
        <v>96</v>
      </c>
      <c r="AB7" s="16"/>
      <c r="AC7" s="17"/>
      <c r="AD7" s="15"/>
      <c r="AE7" s="17"/>
    </row>
    <row r="8" spans="1:31" ht="38.25" customHeight="1" x14ac:dyDescent="0.35">
      <c r="A8" s="21">
        <v>138</v>
      </c>
      <c r="B8" s="17" t="s">
        <v>41</v>
      </c>
      <c r="C8" s="17" t="s">
        <v>73</v>
      </c>
      <c r="D8" s="23" t="s">
        <v>139</v>
      </c>
      <c r="E8" s="28">
        <v>82340</v>
      </c>
      <c r="F8" s="27" t="s">
        <v>54</v>
      </c>
      <c r="G8" s="24">
        <v>46056.780821759261</v>
      </c>
      <c r="H8" s="58"/>
      <c r="I8" s="22">
        <v>46070</v>
      </c>
      <c r="J8" s="25">
        <v>0.45833333333333331</v>
      </c>
      <c r="K8" s="17"/>
      <c r="L8" s="17" t="s">
        <v>44</v>
      </c>
      <c r="M8" s="17" t="s">
        <v>55</v>
      </c>
      <c r="N8" s="27" t="s">
        <v>46</v>
      </c>
      <c r="O8" s="27" t="s">
        <v>140</v>
      </c>
      <c r="P8" s="27" t="s">
        <v>140</v>
      </c>
      <c r="Q8" s="27"/>
      <c r="R8" s="55"/>
      <c r="S8" s="17"/>
      <c r="T8" s="17"/>
      <c r="U8" s="17"/>
      <c r="V8" s="66">
        <v>0.02</v>
      </c>
      <c r="W8" s="29"/>
      <c r="X8" s="17"/>
      <c r="Y8" s="17"/>
      <c r="Z8" s="17" t="s">
        <v>87</v>
      </c>
      <c r="AA8" s="30" t="s">
        <v>96</v>
      </c>
      <c r="AB8" s="16"/>
      <c r="AC8" s="17"/>
      <c r="AD8" s="15"/>
      <c r="AE8" s="17"/>
    </row>
    <row r="9" spans="1:31" s="19" customFormat="1" ht="47.25" customHeight="1" x14ac:dyDescent="0.35">
      <c r="A9" s="21">
        <v>135</v>
      </c>
      <c r="B9" s="17" t="s">
        <v>41</v>
      </c>
      <c r="C9" s="17" t="s">
        <v>64</v>
      </c>
      <c r="D9" s="23" t="s">
        <v>128</v>
      </c>
      <c r="E9" s="28" t="s">
        <v>134</v>
      </c>
      <c r="F9" s="27" t="s">
        <v>43</v>
      </c>
      <c r="G9" s="24">
        <v>46056.449305555558</v>
      </c>
      <c r="H9" s="58"/>
      <c r="I9" s="22">
        <v>46071</v>
      </c>
      <c r="J9" s="25">
        <v>0.45833333333333331</v>
      </c>
      <c r="K9" s="17"/>
      <c r="L9" s="17" t="s">
        <v>44</v>
      </c>
      <c r="M9" s="17" t="s">
        <v>55</v>
      </c>
      <c r="N9" s="27" t="s">
        <v>76</v>
      </c>
      <c r="O9" s="27" t="s">
        <v>135</v>
      </c>
      <c r="P9" s="27" t="s">
        <v>135</v>
      </c>
      <c r="Q9" s="27"/>
      <c r="R9" s="55"/>
      <c r="S9" s="17"/>
      <c r="T9" s="17"/>
      <c r="U9" s="17"/>
      <c r="V9" s="26" t="s">
        <v>136</v>
      </c>
      <c r="W9" s="29" t="s">
        <v>90</v>
      </c>
      <c r="X9" s="17"/>
      <c r="Y9" s="17"/>
      <c r="Z9" s="17" t="s">
        <v>87</v>
      </c>
      <c r="AA9" s="30" t="s">
        <v>96</v>
      </c>
      <c r="AB9" s="16"/>
      <c r="AC9" s="17"/>
      <c r="AD9" s="15"/>
    </row>
    <row r="10" spans="1:31" ht="51" customHeight="1" x14ac:dyDescent="0.35">
      <c r="A10" s="21">
        <v>127</v>
      </c>
      <c r="B10" s="17" t="s">
        <v>41</v>
      </c>
      <c r="C10" s="17" t="s">
        <v>65</v>
      </c>
      <c r="D10" s="23" t="s">
        <v>124</v>
      </c>
      <c r="E10" s="28" t="s">
        <v>125</v>
      </c>
      <c r="F10" s="27" t="s">
        <v>43</v>
      </c>
      <c r="G10" s="24">
        <v>46052.584027777775</v>
      </c>
      <c r="H10" s="58"/>
      <c r="I10" s="22">
        <v>46072</v>
      </c>
      <c r="J10" s="25">
        <v>0.5</v>
      </c>
      <c r="K10" s="17"/>
      <c r="L10" s="17" t="s">
        <v>44</v>
      </c>
      <c r="M10" s="17" t="s">
        <v>62</v>
      </c>
      <c r="N10" s="27" t="s">
        <v>52</v>
      </c>
      <c r="O10" s="27" t="s">
        <v>126</v>
      </c>
      <c r="P10" s="27"/>
      <c r="Q10" s="27"/>
      <c r="R10" s="55"/>
      <c r="S10" s="17"/>
      <c r="T10" s="17"/>
      <c r="U10" s="17"/>
      <c r="V10" s="26" t="s">
        <v>127</v>
      </c>
      <c r="W10" s="29" t="s">
        <v>85</v>
      </c>
      <c r="X10" s="17"/>
      <c r="Y10" s="17"/>
      <c r="Z10" s="17" t="s">
        <v>53</v>
      </c>
      <c r="AA10" s="30" t="s">
        <v>96</v>
      </c>
      <c r="AB10" s="16"/>
      <c r="AC10" s="17"/>
      <c r="AD10" s="15"/>
      <c r="AE10" s="17"/>
    </row>
    <row r="11" spans="1:31" ht="15.75" customHeight="1" x14ac:dyDescent="0.35">
      <c r="A11" s="21">
        <v>109</v>
      </c>
      <c r="B11" s="17" t="s">
        <v>41</v>
      </c>
      <c r="C11" s="17" t="s">
        <v>84</v>
      </c>
      <c r="D11" s="23" t="s">
        <v>86</v>
      </c>
      <c r="E11" s="28">
        <v>82082</v>
      </c>
      <c r="F11" s="27" t="s">
        <v>43</v>
      </c>
      <c r="G11" s="24">
        <v>46049.744525462964</v>
      </c>
      <c r="H11" s="58">
        <f>NETWORKDAYS(G11,I11-2)</f>
        <v>17</v>
      </c>
      <c r="I11" s="22">
        <v>46073</v>
      </c>
      <c r="J11" s="25">
        <v>0.45833333333333331</v>
      </c>
      <c r="K11" s="17"/>
      <c r="L11" s="17" t="s">
        <v>44</v>
      </c>
      <c r="M11" s="17" t="s">
        <v>45</v>
      </c>
      <c r="N11" s="27" t="s">
        <v>48</v>
      </c>
      <c r="O11" s="27" t="s">
        <v>111</v>
      </c>
      <c r="P11" s="27"/>
      <c r="Q11" s="27"/>
      <c r="R11" s="55">
        <v>7200000</v>
      </c>
      <c r="S11" s="17"/>
      <c r="T11" s="17"/>
      <c r="U11" s="17"/>
      <c r="V11" s="26">
        <v>144000</v>
      </c>
      <c r="W11" s="29" t="s">
        <v>85</v>
      </c>
      <c r="X11" s="17"/>
      <c r="Y11" s="17"/>
      <c r="Z11" s="17"/>
      <c r="AA11" s="30" t="s">
        <v>96</v>
      </c>
      <c r="AB11" s="16"/>
      <c r="AC11" s="17"/>
      <c r="AD11" s="15"/>
      <c r="AE11" s="17"/>
    </row>
    <row r="12" spans="1:31" s="19" customFormat="1" ht="34.5" customHeight="1" x14ac:dyDescent="0.35">
      <c r="A12" s="21">
        <v>107</v>
      </c>
      <c r="B12" s="17" t="s">
        <v>41</v>
      </c>
      <c r="C12" s="17" t="s">
        <v>61</v>
      </c>
      <c r="D12" s="23" t="s">
        <v>106</v>
      </c>
      <c r="E12" s="28">
        <v>82045</v>
      </c>
      <c r="F12" s="27" t="s">
        <v>43</v>
      </c>
      <c r="G12" s="24">
        <v>46048.75744212963</v>
      </c>
      <c r="H12" s="58">
        <f>NETWORKDAYS(G12,I12-2)</f>
        <v>20</v>
      </c>
      <c r="I12" s="22">
        <v>46076</v>
      </c>
      <c r="J12" s="25">
        <v>0.45833333333333331</v>
      </c>
      <c r="K12" s="17"/>
      <c r="L12" s="17" t="s">
        <v>44</v>
      </c>
      <c r="M12" s="17" t="s">
        <v>62</v>
      </c>
      <c r="N12" s="27" t="s">
        <v>46</v>
      </c>
      <c r="O12" s="27" t="s">
        <v>110</v>
      </c>
      <c r="P12" s="27"/>
      <c r="Q12" s="27"/>
      <c r="R12" s="55"/>
      <c r="S12" s="17"/>
      <c r="T12" s="17"/>
      <c r="U12" s="17"/>
      <c r="V12" s="26">
        <v>1000000</v>
      </c>
      <c r="W12" s="29" t="s">
        <v>109</v>
      </c>
      <c r="X12" s="17"/>
      <c r="Y12" s="17"/>
      <c r="Z12" s="17"/>
      <c r="AA12" s="30" t="s">
        <v>96</v>
      </c>
      <c r="AB12" s="16"/>
      <c r="AC12" s="17"/>
      <c r="AD12" s="15"/>
    </row>
    <row r="13" spans="1:31" ht="45.75" customHeight="1" x14ac:dyDescent="0.35">
      <c r="A13" s="31">
        <v>131</v>
      </c>
      <c r="B13" s="19" t="s">
        <v>41</v>
      </c>
      <c r="C13" s="19" t="s">
        <v>69</v>
      </c>
      <c r="D13" s="34" t="s">
        <v>132</v>
      </c>
      <c r="E13" s="67" t="s">
        <v>133</v>
      </c>
      <c r="F13" s="61" t="s">
        <v>43</v>
      </c>
      <c r="G13" s="45">
        <v>46055.401388888888</v>
      </c>
      <c r="H13" s="64"/>
      <c r="I13" s="33">
        <v>46076</v>
      </c>
      <c r="J13" s="46">
        <v>0.45833333333333331</v>
      </c>
      <c r="K13" s="19"/>
      <c r="L13" s="19" t="s">
        <v>44</v>
      </c>
      <c r="M13" s="19" t="s">
        <v>62</v>
      </c>
      <c r="N13" s="61" t="s">
        <v>52</v>
      </c>
      <c r="O13" s="61"/>
      <c r="P13" s="61"/>
      <c r="Q13" s="61"/>
      <c r="R13" s="62"/>
      <c r="S13" s="19"/>
      <c r="T13" s="19"/>
      <c r="U13" s="19"/>
      <c r="V13" s="39"/>
      <c r="W13" s="63"/>
      <c r="X13" s="19"/>
      <c r="Y13" s="19"/>
      <c r="Z13" s="19" t="s">
        <v>53</v>
      </c>
      <c r="AA13" s="41" t="s">
        <v>96</v>
      </c>
      <c r="AB13" s="18"/>
      <c r="AC13" s="19"/>
      <c r="AD13" s="14"/>
      <c r="AE13" s="17"/>
    </row>
    <row r="14" spans="1:31" ht="15.5" x14ac:dyDescent="0.35">
      <c r="A14" s="21">
        <v>98</v>
      </c>
      <c r="B14" s="17" t="s">
        <v>41</v>
      </c>
      <c r="C14" s="17" t="s">
        <v>84</v>
      </c>
      <c r="D14" s="23" t="s">
        <v>102</v>
      </c>
      <c r="E14" s="28">
        <v>82017</v>
      </c>
      <c r="F14" s="27" t="s">
        <v>43</v>
      </c>
      <c r="G14" s="24">
        <v>46048.738298611112</v>
      </c>
      <c r="H14" s="58">
        <f>NETWORKDAYS(G14,I14-2)</f>
        <v>22</v>
      </c>
      <c r="I14" s="22">
        <v>46079</v>
      </c>
      <c r="J14" s="25">
        <v>0.58333333333333337</v>
      </c>
      <c r="K14" s="17"/>
      <c r="L14" s="17" t="s">
        <v>44</v>
      </c>
      <c r="M14" s="17" t="s">
        <v>45</v>
      </c>
      <c r="N14" s="27" t="s">
        <v>66</v>
      </c>
      <c r="O14" s="27" t="s">
        <v>74</v>
      </c>
      <c r="P14" s="27" t="s">
        <v>103</v>
      </c>
      <c r="Q14" s="27"/>
      <c r="R14" s="55">
        <v>265000000</v>
      </c>
      <c r="S14" s="17"/>
      <c r="T14" s="17"/>
      <c r="U14" s="17"/>
      <c r="V14" s="59" t="s">
        <v>104</v>
      </c>
      <c r="W14" s="29"/>
      <c r="X14" s="17"/>
      <c r="Y14" s="17"/>
      <c r="Z14" s="17" t="s">
        <v>105</v>
      </c>
      <c r="AA14" s="30" t="s">
        <v>96</v>
      </c>
      <c r="AB14" s="16"/>
      <c r="AC14" s="17"/>
      <c r="AD14" s="15"/>
      <c r="AE14" s="17"/>
    </row>
    <row r="15" spans="1:31" s="19" customFormat="1" ht="43.5" x14ac:dyDescent="0.35">
      <c r="A15" s="21">
        <v>114</v>
      </c>
      <c r="B15" s="17" t="s">
        <v>41</v>
      </c>
      <c r="C15" s="17" t="s">
        <v>60</v>
      </c>
      <c r="D15" s="23" t="s">
        <v>72</v>
      </c>
      <c r="E15" s="28" t="s">
        <v>114</v>
      </c>
      <c r="F15" s="27" t="s">
        <v>43</v>
      </c>
      <c r="G15" s="24">
        <v>46051.516018518516</v>
      </c>
      <c r="H15" s="58">
        <f>NETWORKDAYS(G15,I15-2)</f>
        <v>19</v>
      </c>
      <c r="I15" s="22">
        <v>46079</v>
      </c>
      <c r="J15" s="25">
        <v>0.58333333333333337</v>
      </c>
      <c r="K15" s="17"/>
      <c r="L15" s="17" t="s">
        <v>44</v>
      </c>
      <c r="M15" s="17" t="s">
        <v>55</v>
      </c>
      <c r="N15" s="27" t="s">
        <v>52</v>
      </c>
      <c r="O15" s="27" t="s">
        <v>115</v>
      </c>
      <c r="P15" s="27" t="s">
        <v>116</v>
      </c>
      <c r="Q15" s="27"/>
      <c r="R15" s="55"/>
      <c r="S15" s="17"/>
      <c r="T15" s="17"/>
      <c r="U15" s="17"/>
      <c r="V15" s="26" t="s">
        <v>71</v>
      </c>
      <c r="W15" s="29"/>
      <c r="X15" s="17"/>
      <c r="Y15" s="17"/>
      <c r="Z15" s="17"/>
      <c r="AA15" s="30" t="s">
        <v>96</v>
      </c>
      <c r="AB15" s="16"/>
      <c r="AC15" s="17"/>
      <c r="AD15" s="56" t="s">
        <v>91</v>
      </c>
    </row>
    <row r="16" spans="1:31" ht="24" customHeight="1" x14ac:dyDescent="0.35">
      <c r="A16" s="21">
        <v>136</v>
      </c>
      <c r="B16" s="17" t="s">
        <v>41</v>
      </c>
      <c r="C16" s="17" t="s">
        <v>57</v>
      </c>
      <c r="D16" s="23" t="s">
        <v>59</v>
      </c>
      <c r="E16" s="28" t="s">
        <v>137</v>
      </c>
      <c r="F16" s="27" t="s">
        <v>43</v>
      </c>
      <c r="G16" s="24">
        <v>46056.449305555558</v>
      </c>
      <c r="H16" s="58"/>
      <c r="I16" s="22">
        <v>46079</v>
      </c>
      <c r="J16" s="25">
        <v>0.45833333333333331</v>
      </c>
      <c r="K16" s="17"/>
      <c r="L16" s="17" t="s">
        <v>44</v>
      </c>
      <c r="M16" s="17" t="s">
        <v>55</v>
      </c>
      <c r="N16" s="27" t="s">
        <v>76</v>
      </c>
      <c r="O16" s="27" t="s">
        <v>138</v>
      </c>
      <c r="P16" s="27" t="s">
        <v>138</v>
      </c>
      <c r="Q16" s="27"/>
      <c r="R16" s="55"/>
      <c r="S16" s="17"/>
      <c r="T16" s="17"/>
      <c r="U16" s="17"/>
      <c r="V16" s="26" t="s">
        <v>67</v>
      </c>
      <c r="W16" s="29"/>
      <c r="X16" s="17"/>
      <c r="Y16" s="17"/>
      <c r="Z16" s="17" t="s">
        <v>87</v>
      </c>
      <c r="AA16" s="30" t="s">
        <v>96</v>
      </c>
      <c r="AB16" s="16"/>
      <c r="AC16" s="17"/>
      <c r="AD16" s="15"/>
      <c r="AE16" s="17"/>
    </row>
    <row r="17" spans="1:31" ht="15.75" customHeight="1" x14ac:dyDescent="0.35">
      <c r="A17" s="21">
        <v>142</v>
      </c>
      <c r="B17" s="17" t="s">
        <v>41</v>
      </c>
      <c r="C17" s="17" t="s">
        <v>64</v>
      </c>
      <c r="D17" s="23" t="s">
        <v>141</v>
      </c>
      <c r="E17" s="28" t="s">
        <v>142</v>
      </c>
      <c r="F17" s="27" t="s">
        <v>54</v>
      </c>
      <c r="G17" s="24">
        <v>46059.780821759261</v>
      </c>
      <c r="H17" s="58"/>
      <c r="I17" s="22">
        <v>46079</v>
      </c>
      <c r="J17" s="25">
        <v>0.45833333333333331</v>
      </c>
      <c r="K17" s="17"/>
      <c r="L17" s="17" t="s">
        <v>44</v>
      </c>
      <c r="M17" s="17" t="s">
        <v>55</v>
      </c>
      <c r="N17" s="27" t="s">
        <v>52</v>
      </c>
      <c r="O17" s="27" t="s">
        <v>143</v>
      </c>
      <c r="P17" s="27" t="s">
        <v>143</v>
      </c>
      <c r="Q17" s="27"/>
      <c r="R17" s="55"/>
      <c r="S17" s="17"/>
      <c r="T17" s="17"/>
      <c r="U17" s="17"/>
      <c r="V17" s="66" t="s">
        <v>144</v>
      </c>
      <c r="W17" s="29"/>
      <c r="X17" s="17"/>
      <c r="Y17" s="17"/>
      <c r="Z17" s="17" t="s">
        <v>87</v>
      </c>
      <c r="AA17" s="30" t="s">
        <v>96</v>
      </c>
      <c r="AB17" s="16"/>
      <c r="AC17" s="17"/>
      <c r="AD17" s="15"/>
      <c r="AE17" s="17"/>
    </row>
    <row r="18" spans="1:31" s="17" customFormat="1" ht="15.5" x14ac:dyDescent="0.35">
      <c r="A18" s="21">
        <v>156</v>
      </c>
      <c r="B18" s="17" t="s">
        <v>41</v>
      </c>
      <c r="C18" s="17" t="s">
        <v>42</v>
      </c>
      <c r="D18" s="23" t="s">
        <v>68</v>
      </c>
      <c r="E18" s="28">
        <v>82423</v>
      </c>
      <c r="F18" s="27" t="s">
        <v>43</v>
      </c>
      <c r="G18" s="24">
        <v>46062.686585648145</v>
      </c>
      <c r="H18" s="58"/>
      <c r="I18" s="22">
        <v>46079</v>
      </c>
      <c r="J18" s="25">
        <v>0.45833333333333331</v>
      </c>
      <c r="L18" s="17" t="s">
        <v>44</v>
      </c>
      <c r="M18" s="17" t="s">
        <v>45</v>
      </c>
      <c r="N18" s="27" t="s">
        <v>76</v>
      </c>
      <c r="O18" s="27" t="s">
        <v>173</v>
      </c>
      <c r="P18" s="27"/>
      <c r="Q18" s="27"/>
      <c r="R18" s="55">
        <v>25000000</v>
      </c>
      <c r="V18" s="66">
        <v>0.02</v>
      </c>
      <c r="W18" s="29"/>
      <c r="Z18" s="17" t="s">
        <v>155</v>
      </c>
      <c r="AA18" s="30" t="s">
        <v>96</v>
      </c>
      <c r="AB18" s="16"/>
      <c r="AD18" s="15"/>
    </row>
    <row r="19" spans="1:31" s="17" customFormat="1" ht="15.75" customHeight="1" x14ac:dyDescent="0.35">
      <c r="A19" s="21">
        <v>150</v>
      </c>
      <c r="B19" s="17" t="s">
        <v>41</v>
      </c>
      <c r="C19" s="17" t="s">
        <v>84</v>
      </c>
      <c r="D19" s="23" t="s">
        <v>149</v>
      </c>
      <c r="E19" s="28">
        <v>82385</v>
      </c>
      <c r="F19" s="27" t="s">
        <v>43</v>
      </c>
      <c r="G19" s="24">
        <v>46059.620949074073</v>
      </c>
      <c r="H19" s="58"/>
      <c r="I19" s="22">
        <v>46084</v>
      </c>
      <c r="J19" s="25">
        <v>0.45833333333333331</v>
      </c>
      <c r="L19" s="17" t="s">
        <v>44</v>
      </c>
      <c r="M19" s="17" t="s">
        <v>45</v>
      </c>
      <c r="N19" s="27" t="s">
        <v>66</v>
      </c>
      <c r="O19" s="27" t="s">
        <v>150</v>
      </c>
      <c r="P19" s="27"/>
      <c r="Q19" s="27"/>
      <c r="R19" s="55"/>
      <c r="V19" s="26">
        <v>2000000</v>
      </c>
      <c r="W19" s="29" t="s">
        <v>85</v>
      </c>
      <c r="Z19" s="17" t="s">
        <v>87</v>
      </c>
      <c r="AA19" s="30" t="s">
        <v>96</v>
      </c>
      <c r="AB19" s="16"/>
      <c r="AD19" s="15"/>
    </row>
    <row r="20" spans="1:31" ht="46.5" x14ac:dyDescent="0.35">
      <c r="A20" s="21">
        <v>151</v>
      </c>
      <c r="B20" s="17" t="s">
        <v>41</v>
      </c>
      <c r="C20" s="17" t="s">
        <v>58</v>
      </c>
      <c r="D20" s="23" t="s">
        <v>151</v>
      </c>
      <c r="E20" s="28">
        <v>82399</v>
      </c>
      <c r="F20" s="27" t="s">
        <v>43</v>
      </c>
      <c r="G20" s="24">
        <v>46062.524814814817</v>
      </c>
      <c r="H20" s="58"/>
      <c r="I20" s="22">
        <v>46084</v>
      </c>
      <c r="J20" s="25">
        <v>0.45833333333333331</v>
      </c>
      <c r="K20" s="17"/>
      <c r="L20" s="17" t="s">
        <v>44</v>
      </c>
      <c r="M20" s="17" t="s">
        <v>55</v>
      </c>
      <c r="N20" s="27" t="s">
        <v>152</v>
      </c>
      <c r="O20" s="27" t="s">
        <v>153</v>
      </c>
      <c r="P20" s="27"/>
      <c r="Q20" s="27"/>
      <c r="R20" s="55"/>
      <c r="S20" s="17"/>
      <c r="T20" s="17"/>
      <c r="U20" s="17"/>
      <c r="V20" s="26" t="s">
        <v>154</v>
      </c>
      <c r="W20" s="29"/>
      <c r="X20" s="17"/>
      <c r="Y20" s="17"/>
      <c r="Z20" s="17" t="s">
        <v>155</v>
      </c>
      <c r="AA20" s="30" t="s">
        <v>96</v>
      </c>
      <c r="AB20" s="16"/>
      <c r="AC20" s="17"/>
      <c r="AD20" s="15"/>
      <c r="AE20" s="17"/>
    </row>
    <row r="21" spans="1:31" ht="46.5" x14ac:dyDescent="0.35">
      <c r="A21" s="21">
        <v>148</v>
      </c>
      <c r="B21" s="17" t="s">
        <v>41</v>
      </c>
      <c r="C21" s="17" t="s">
        <v>65</v>
      </c>
      <c r="D21" s="23" t="s">
        <v>145</v>
      </c>
      <c r="E21" s="28">
        <v>82378</v>
      </c>
      <c r="F21" s="27" t="s">
        <v>43</v>
      </c>
      <c r="G21" s="24">
        <v>46059.463726851849</v>
      </c>
      <c r="H21" s="58"/>
      <c r="I21" s="22">
        <v>46093</v>
      </c>
      <c r="J21" s="25">
        <v>0.45833333333333331</v>
      </c>
      <c r="K21" s="17"/>
      <c r="L21" s="17" t="s">
        <v>44</v>
      </c>
      <c r="M21" s="17" t="s">
        <v>62</v>
      </c>
      <c r="N21" s="27" t="s">
        <v>52</v>
      </c>
      <c r="O21" s="27" t="s">
        <v>146</v>
      </c>
      <c r="P21" s="27" t="s">
        <v>147</v>
      </c>
      <c r="Q21" s="27"/>
      <c r="R21" s="55"/>
      <c r="S21" s="17"/>
      <c r="T21" s="17"/>
      <c r="U21" s="17"/>
      <c r="V21" s="66" t="s">
        <v>49</v>
      </c>
      <c r="W21" s="29" t="s">
        <v>109</v>
      </c>
      <c r="X21" s="17"/>
      <c r="Y21" s="17"/>
      <c r="Z21" s="17" t="s">
        <v>148</v>
      </c>
      <c r="AA21" s="30" t="s">
        <v>96</v>
      </c>
      <c r="AB21" s="16"/>
      <c r="AC21" s="17"/>
      <c r="AD21" s="15"/>
      <c r="AE21" s="17"/>
    </row>
    <row r="22" spans="1:31" ht="31" x14ac:dyDescent="0.35">
      <c r="A22" s="21">
        <v>153</v>
      </c>
      <c r="B22" s="17" t="s">
        <v>56</v>
      </c>
      <c r="C22" s="17" t="s">
        <v>57</v>
      </c>
      <c r="D22" s="23" t="s">
        <v>159</v>
      </c>
      <c r="E22" s="28" t="s">
        <v>160</v>
      </c>
      <c r="F22" s="27" t="s">
        <v>43</v>
      </c>
      <c r="G22" s="24">
        <v>46059.524814814817</v>
      </c>
      <c r="H22" s="58"/>
      <c r="I22" s="22">
        <v>46097</v>
      </c>
      <c r="J22" s="25">
        <v>0.58333333333333337</v>
      </c>
      <c r="K22" s="17"/>
      <c r="L22" s="17" t="s">
        <v>44</v>
      </c>
      <c r="M22" s="17" t="s">
        <v>55</v>
      </c>
      <c r="N22" s="27" t="s">
        <v>52</v>
      </c>
      <c r="O22" s="27" t="s">
        <v>88</v>
      </c>
      <c r="P22" s="27" t="s">
        <v>161</v>
      </c>
      <c r="Q22" s="27"/>
      <c r="R22" s="55"/>
      <c r="S22" s="17"/>
      <c r="T22" s="17"/>
      <c r="U22" s="17"/>
      <c r="V22" s="26" t="s">
        <v>162</v>
      </c>
      <c r="W22" s="29"/>
      <c r="X22" s="17"/>
      <c r="Y22" s="17"/>
      <c r="Z22" s="17" t="s">
        <v>155</v>
      </c>
      <c r="AA22" s="30" t="s">
        <v>96</v>
      </c>
      <c r="AB22" s="16"/>
      <c r="AC22" s="17"/>
      <c r="AD22" s="15"/>
      <c r="AE22" s="17"/>
    </row>
    <row r="23" spans="1:31" s="19" customFormat="1" ht="33" customHeight="1" x14ac:dyDescent="0.35">
      <c r="A23" s="21">
        <v>154</v>
      </c>
      <c r="B23" s="17" t="s">
        <v>56</v>
      </c>
      <c r="C23" s="17" t="s">
        <v>57</v>
      </c>
      <c r="D23" s="23" t="s">
        <v>163</v>
      </c>
      <c r="E23" s="28" t="s">
        <v>164</v>
      </c>
      <c r="F23" s="27" t="s">
        <v>43</v>
      </c>
      <c r="G23" s="24">
        <v>46059.524814814817</v>
      </c>
      <c r="H23" s="58"/>
      <c r="I23" s="22">
        <v>46097</v>
      </c>
      <c r="J23" s="25">
        <v>0.625</v>
      </c>
      <c r="K23" s="17"/>
      <c r="L23" s="17" t="s">
        <v>44</v>
      </c>
      <c r="M23" s="17" t="s">
        <v>55</v>
      </c>
      <c r="N23" s="27" t="s">
        <v>52</v>
      </c>
      <c r="O23" s="27" t="s">
        <v>165</v>
      </c>
      <c r="P23" s="27" t="s">
        <v>165</v>
      </c>
      <c r="Q23" s="27"/>
      <c r="R23" s="55"/>
      <c r="S23" s="17"/>
      <c r="T23" s="17"/>
      <c r="U23" s="17"/>
      <c r="V23" s="26" t="s">
        <v>82</v>
      </c>
      <c r="W23" s="29" t="s">
        <v>166</v>
      </c>
      <c r="X23" s="17"/>
      <c r="Y23" s="17"/>
      <c r="Z23" s="17" t="s">
        <v>167</v>
      </c>
      <c r="AA23" s="30" t="s">
        <v>96</v>
      </c>
      <c r="AB23" s="16"/>
      <c r="AC23" s="17"/>
      <c r="AD23" s="15"/>
    </row>
    <row r="24" spans="1:31" ht="35.25" customHeight="1" x14ac:dyDescent="0.35">
      <c r="A24" s="21">
        <v>155</v>
      </c>
      <c r="B24" s="17" t="s">
        <v>56</v>
      </c>
      <c r="C24" s="17" t="s">
        <v>57</v>
      </c>
      <c r="D24" s="23" t="s">
        <v>168</v>
      </c>
      <c r="E24" s="28" t="s">
        <v>169</v>
      </c>
      <c r="F24" s="27" t="s">
        <v>43</v>
      </c>
      <c r="G24" s="24">
        <v>46059.524814814817</v>
      </c>
      <c r="H24" s="58"/>
      <c r="I24" s="22">
        <v>46098</v>
      </c>
      <c r="J24" s="25">
        <v>0.45833333333333331</v>
      </c>
      <c r="K24" s="17"/>
      <c r="L24" s="17" t="s">
        <v>44</v>
      </c>
      <c r="M24" s="17" t="s">
        <v>55</v>
      </c>
      <c r="N24" s="27" t="s">
        <v>52</v>
      </c>
      <c r="O24" s="27" t="s">
        <v>170</v>
      </c>
      <c r="P24" s="27" t="s">
        <v>171</v>
      </c>
      <c r="Q24" s="27"/>
      <c r="R24" s="55">
        <v>9000000</v>
      </c>
      <c r="S24" s="17"/>
      <c r="T24" s="17"/>
      <c r="U24" s="17"/>
      <c r="V24" s="26" t="s">
        <v>172</v>
      </c>
      <c r="W24" s="29"/>
      <c r="X24" s="17"/>
      <c r="Y24" s="17"/>
      <c r="Z24" s="17"/>
      <c r="AA24" s="30" t="s">
        <v>96</v>
      </c>
      <c r="AB24" s="16"/>
      <c r="AC24" s="17"/>
      <c r="AD24" s="15"/>
      <c r="AE24" s="17"/>
    </row>
    <row r="25" spans="1:31" ht="29" x14ac:dyDescent="0.35">
      <c r="A25" s="31">
        <v>152</v>
      </c>
      <c r="B25" s="19" t="s">
        <v>41</v>
      </c>
      <c r="C25" s="19" t="s">
        <v>75</v>
      </c>
      <c r="D25" s="34" t="s">
        <v>156</v>
      </c>
      <c r="E25" s="60" t="s">
        <v>157</v>
      </c>
      <c r="F25" s="61" t="s">
        <v>43</v>
      </c>
      <c r="G25" s="45">
        <v>46063.524814814817</v>
      </c>
      <c r="H25" s="64"/>
      <c r="I25" s="33">
        <v>46100</v>
      </c>
      <c r="J25" s="46">
        <v>0.4375</v>
      </c>
      <c r="K25" s="19"/>
      <c r="L25" s="19" t="s">
        <v>44</v>
      </c>
      <c r="M25" s="19" t="s">
        <v>55</v>
      </c>
      <c r="N25" s="61" t="s">
        <v>52</v>
      </c>
      <c r="O25" s="61" t="s">
        <v>158</v>
      </c>
      <c r="P25" s="61" t="s">
        <v>158</v>
      </c>
      <c r="Q25" s="61"/>
      <c r="R25" s="62"/>
      <c r="S25" s="19"/>
      <c r="T25" s="19"/>
      <c r="U25" s="19"/>
      <c r="V25" s="39" t="s">
        <v>100</v>
      </c>
      <c r="W25" s="63" t="s">
        <v>92</v>
      </c>
      <c r="X25" s="19"/>
      <c r="Y25" s="19"/>
      <c r="Z25" s="19" t="s">
        <v>155</v>
      </c>
      <c r="AA25" s="41" t="s">
        <v>96</v>
      </c>
      <c r="AB25" s="18"/>
      <c r="AC25" s="19"/>
      <c r="AD25" s="14"/>
      <c r="AE25" s="17"/>
    </row>
    <row r="26" spans="1:31" ht="30.75" customHeight="1" x14ac:dyDescent="0.35">
      <c r="A26" s="31">
        <v>95</v>
      </c>
      <c r="B26" s="19" t="s">
        <v>41</v>
      </c>
      <c r="C26" s="19" t="s">
        <v>70</v>
      </c>
      <c r="D26" s="34" t="s">
        <v>93</v>
      </c>
      <c r="E26" s="60">
        <v>81794</v>
      </c>
      <c r="F26" s="61" t="s">
        <v>94</v>
      </c>
      <c r="G26" s="45">
        <v>46044.738298611112</v>
      </c>
      <c r="H26" s="64"/>
      <c r="I26" s="33" t="s">
        <v>95</v>
      </c>
      <c r="J26" s="46">
        <v>0.45833333333333331</v>
      </c>
      <c r="K26" s="19"/>
      <c r="L26" s="19" t="s">
        <v>44</v>
      </c>
      <c r="M26" s="19" t="s">
        <v>45</v>
      </c>
      <c r="N26" s="61" t="s">
        <v>50</v>
      </c>
      <c r="O26" s="61" t="s">
        <v>89</v>
      </c>
      <c r="P26" s="61" t="s">
        <v>89</v>
      </c>
      <c r="Q26" s="61"/>
      <c r="R26" s="62"/>
      <c r="S26" s="19"/>
      <c r="T26" s="19"/>
      <c r="U26" s="19"/>
      <c r="V26" s="65" t="s">
        <v>82</v>
      </c>
      <c r="W26" s="63"/>
      <c r="X26" s="19"/>
      <c r="Y26" s="19"/>
      <c r="Z26" s="19"/>
      <c r="AA26" s="41" t="s">
        <v>96</v>
      </c>
      <c r="AB26" s="18"/>
      <c r="AC26" s="19"/>
      <c r="AD26" s="14"/>
      <c r="AE26" s="17"/>
    </row>
    <row r="27" spans="1:31" ht="29" x14ac:dyDescent="0.35">
      <c r="A27" s="31">
        <v>51</v>
      </c>
      <c r="B27" s="32" t="s">
        <v>41</v>
      </c>
      <c r="C27" s="43" t="s">
        <v>77</v>
      </c>
      <c r="D27" s="34" t="s">
        <v>78</v>
      </c>
      <c r="E27" s="34" t="s">
        <v>79</v>
      </c>
      <c r="F27" s="44" t="s">
        <v>47</v>
      </c>
      <c r="G27" s="45">
        <v>46008.503310185188</v>
      </c>
      <c r="H27" s="38"/>
      <c r="I27" s="33"/>
      <c r="J27" s="46"/>
      <c r="K27" s="44"/>
      <c r="L27" s="44" t="s">
        <v>44</v>
      </c>
      <c r="M27" s="34" t="s">
        <v>55</v>
      </c>
      <c r="N27" s="34" t="s">
        <v>80</v>
      </c>
      <c r="O27" s="47" t="s">
        <v>81</v>
      </c>
      <c r="P27" s="47" t="s">
        <v>81</v>
      </c>
      <c r="Q27" s="47" t="s">
        <v>63</v>
      </c>
      <c r="R27" s="48"/>
      <c r="S27" s="48"/>
      <c r="T27" s="48"/>
      <c r="U27" s="48"/>
      <c r="V27" s="39" t="s">
        <v>82</v>
      </c>
      <c r="W27" s="49"/>
      <c r="X27" s="18"/>
      <c r="Y27" s="40"/>
      <c r="Z27" s="18" t="s">
        <v>51</v>
      </c>
      <c r="AA27" s="35" t="s">
        <v>83</v>
      </c>
      <c r="AB27" s="41"/>
      <c r="AC27" s="42"/>
      <c r="AD27" s="14"/>
      <c r="AE27" s="17"/>
    </row>
  </sheetData>
  <autoFilter ref="A1:AD27" xr:uid="{38EC2A1A-C51C-4645-BA60-8C157E4BD912}">
    <sortState xmlns:xlrd2="http://schemas.microsoft.com/office/spreadsheetml/2017/richdata2" ref="A3:AD27">
      <sortCondition ref="I1:I27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c9fc79de-59d1-4b9e-8d27-33b727f63c0b">
      <UserInfo>
        <DisplayName>Ahsan Ullah Khan/BIZ/ISB</DisplayName>
        <AccountId>13</AccountId>
        <AccountType/>
      </UserInfo>
      <UserInfo>
        <DisplayName>Zeeshan Mustafa/BIZ/ISB</DisplayName>
        <AccountId>11</AccountId>
        <AccountType/>
      </UserInfo>
      <UserInfo>
        <DisplayName>Muhammad Faisal Hamid/BIZ/LHR</DisplayName>
        <AccountId>14</AccountId>
        <AccountType/>
      </UserInfo>
      <UserInfo>
        <DisplayName>Ujala Aftab Wyne/BIZ/LHR</DisplayName>
        <AccountId>331</AccountId>
        <AccountType/>
      </UserInfo>
      <UserInfo>
        <DisplayName>Hamza Jamshed/BIZ/ISB</DisplayName>
        <AccountId>389</AccountId>
        <AccountType/>
      </UserInfo>
      <UserInfo>
        <DisplayName>Ammar Ahmed/BIZ/ISB</DisplayName>
        <AccountId>1169</AccountId>
        <AccountType/>
      </UserInfo>
    </SharedWithUsers>
    <lcf76f155ced4ddcb4097134ff3c332f xmlns="21180eb5-529d-4c62-b481-7923548a90b6">
      <Terms xmlns="http://schemas.microsoft.com/office/infopath/2007/PartnerControls"/>
    </lcf76f155ced4ddcb4097134ff3c332f>
    <TaxCatchAll xmlns="c9fc79de-59d1-4b9e-8d27-33b727f63c0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17CD63645C4246BA679D9CEB871257" ma:contentTypeVersion="17" ma:contentTypeDescription="Create a new document." ma:contentTypeScope="" ma:versionID="3d0d12b299e668ecd9beb10ae0703364">
  <xsd:schema xmlns:xsd="http://www.w3.org/2001/XMLSchema" xmlns:xs="http://www.w3.org/2001/XMLSchema" xmlns:p="http://schemas.microsoft.com/office/2006/metadata/properties" xmlns:ns2="21180eb5-529d-4c62-b481-7923548a90b6" xmlns:ns3="c9fc79de-59d1-4b9e-8d27-33b727f63c0b" targetNamespace="http://schemas.microsoft.com/office/2006/metadata/properties" ma:root="true" ma:fieldsID="1ef4edf05e0f6f80396738f038598e86" ns2:_="" ns3:_="">
    <xsd:import namespace="21180eb5-529d-4c62-b481-7923548a90b6"/>
    <xsd:import namespace="c9fc79de-59d1-4b9e-8d27-33b727f63c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180eb5-529d-4c62-b481-7923548a90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a913f2bb-3dfe-4444-bb74-84540bf782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fc79de-59d1-4b9e-8d27-33b727f63c0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b413ebee-1d6a-4e03-b991-fae18b585280}" ma:internalName="TaxCatchAll" ma:showField="CatchAllData" ma:web="c9fc79de-59d1-4b9e-8d27-33b727f63c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3E00C6B-EE69-4EFC-A618-E2C1F17FFC8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B76462-7132-4F17-AB1D-1138CEDDD6BF}">
  <ds:schemaRefs>
    <ds:schemaRef ds:uri="http://schemas.microsoft.com/office/2006/metadata/properties"/>
    <ds:schemaRef ds:uri="http://schemas.microsoft.com/office/infopath/2007/PartnerControls"/>
    <ds:schemaRef ds:uri="c9fc79de-59d1-4b9e-8d27-33b727f63c0b"/>
    <ds:schemaRef ds:uri="21180eb5-529d-4c62-b481-7923548a90b6"/>
  </ds:schemaRefs>
</ds:datastoreItem>
</file>

<file path=customXml/itemProps3.xml><?xml version="1.0" encoding="utf-8"?>
<ds:datastoreItem xmlns:ds="http://schemas.openxmlformats.org/officeDocument/2006/customXml" ds:itemID="{30696CB7-8A62-48CD-AB70-B68E36201C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1180eb5-529d-4c62-b481-7923548a90b6"/>
    <ds:schemaRef ds:uri="c9fc79de-59d1-4b9e-8d27-33b727f63c0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Color Coding</vt:lpstr>
      <vt:lpstr>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Zeeshan Mustafa</dc:creator>
  <cp:keywords/>
  <dc:description/>
  <cp:lastModifiedBy>Ammar Ahmed/BIZ/ISB</cp:lastModifiedBy>
  <cp:revision/>
  <dcterms:created xsi:type="dcterms:W3CDTF">2019-01-25T06:25:06Z</dcterms:created>
  <dcterms:modified xsi:type="dcterms:W3CDTF">2026-02-11T07:21:05Z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0x0101009117CD63645C4246BA679D9CEB871257</vt:lpwstr>
  </property>
  <property fmtid="{D5CDD505-2E9C-101B-9397-08002B2CF9AE}" pid="3" name="MediaServiceImageTags">
    <vt:lpwstr/>
  </property>
  <property fmtid="{D5CDD505-2E9C-101B-9397-08002B2CF9AE}" pid="4" name="MSIP_Label_0886e226-cfd0-4c2d-b2ff-bd9be0eaa4b4_Enabled">
    <vt:lpwstr>true</vt:lpwstr>
  </property>
  <property fmtid="{D5CDD505-2E9C-101B-9397-08002B2CF9AE}" pid="5" name="MSIP_Label_0886e226-cfd0-4c2d-b2ff-bd9be0eaa4b4_SetDate">
    <vt:lpwstr>2024-01-21T09:04:49Z</vt:lpwstr>
  </property>
  <property fmtid="{D5CDD505-2E9C-101B-9397-08002B2CF9AE}" pid="6" name="MSIP_Label_0886e226-cfd0-4c2d-b2ff-bd9be0eaa4b4_Method">
    <vt:lpwstr>Standard</vt:lpwstr>
  </property>
  <property fmtid="{D5CDD505-2E9C-101B-9397-08002B2CF9AE}" pid="7" name="MSIP_Label_0886e226-cfd0-4c2d-b2ff-bd9be0eaa4b4_Name">
    <vt:lpwstr>Internal</vt:lpwstr>
  </property>
  <property fmtid="{D5CDD505-2E9C-101B-9397-08002B2CF9AE}" pid="8" name="MSIP_Label_0886e226-cfd0-4c2d-b2ff-bd9be0eaa4b4_SiteId">
    <vt:lpwstr>5764b349-a60c-4df1-8cf5-62d06dd5b2c3</vt:lpwstr>
  </property>
  <property fmtid="{D5CDD505-2E9C-101B-9397-08002B2CF9AE}" pid="9" name="MSIP_Label_0886e226-cfd0-4c2d-b2ff-bd9be0eaa4b4_ActionId">
    <vt:lpwstr>9beede7e-5aa4-4e8e-9045-ace10152d686</vt:lpwstr>
  </property>
  <property fmtid="{D5CDD505-2E9C-101B-9397-08002B2CF9AE}" pid="10" name="MSIP_Label_0886e226-cfd0-4c2d-b2ff-bd9be0eaa4b4_ContentBits">
    <vt:lpwstr>0</vt:lpwstr>
  </property>
  <property fmtid="{D5CDD505-2E9C-101B-9397-08002B2CF9AE}" pid="11" name="MSIP_Label_0886e226-cfd0-4c2d-b2ff-bd9be0eaa4b4_Tag">
    <vt:lpwstr>10, 3, 0, 2</vt:lpwstr>
  </property>
</Properties>
</file>